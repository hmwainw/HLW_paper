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ukowainwright/Documents/Papers/Budnitz/"/>
    </mc:Choice>
  </mc:AlternateContent>
  <xr:revisionPtr revIDLastSave="0" documentId="8_{584023DB-7D61-E046-9CCF-335DEC1C6439}" xr6:coauthVersionLast="47" xr6:coauthVersionMax="47" xr10:uidLastSave="{00000000-0000-0000-0000-000000000000}"/>
  <bookViews>
    <workbookView xWindow="0" yWindow="680" windowWidth="25600" windowHeight="15960" xr2:uid="{1135B98B-4D0C-C544-B3C8-D1994BE5FF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4" i="1"/>
  <c r="G24" i="1"/>
  <c r="F24" i="1"/>
  <c r="E24" i="1"/>
</calcChain>
</file>

<file path=xl/sharedStrings.xml><?xml version="1.0" encoding="utf-8"?>
<sst xmlns="http://schemas.openxmlformats.org/spreadsheetml/2006/main" count="91" uniqueCount="50">
  <si>
    <t>Radionuclide</t>
  </si>
  <si>
    <t>Species</t>
  </si>
  <si>
    <t>Cs-137*</t>
  </si>
  <si>
    <t>Cs(I)</t>
  </si>
  <si>
    <t>Np-237</t>
  </si>
  <si>
    <t>Np(IV)</t>
  </si>
  <si>
    <t>Np-239</t>
  </si>
  <si>
    <t>Pu-239</t>
  </si>
  <si>
    <t>Pu(III)</t>
  </si>
  <si>
    <t>Pu-240</t>
  </si>
  <si>
    <t>Pu-242</t>
  </si>
  <si>
    <t>Am-241</t>
  </si>
  <si>
    <t>Am(III)</t>
  </si>
  <si>
    <t>Am-243</t>
  </si>
  <si>
    <t>Se-79</t>
  </si>
  <si>
    <t>Se(−II)</t>
  </si>
  <si>
    <t>Zr-93</t>
  </si>
  <si>
    <t>Zr(IV)</t>
  </si>
  <si>
    <t>Tc-99</t>
  </si>
  <si>
    <t>Tc(IV)</t>
  </si>
  <si>
    <t>I-129</t>
  </si>
  <si>
    <t>I(−I)</t>
  </si>
  <si>
    <t>Cs-135</t>
  </si>
  <si>
    <t>t_dt at 1 m MX-80 (yr)</t>
  </si>
  <si>
    <t>b at 1Myr MX-80 (m)</t>
  </si>
  <si>
    <t xml:space="preserve">ε MX-80 </t>
  </si>
  <si>
    <t>ρ MX-80 (kg/m³)</t>
  </si>
  <si>
    <t>De MX-80 (m²/yr)</t>
  </si>
  <si>
    <t>Kd MX-80 (m³/kg)</t>
  </si>
  <si>
    <t>ε OPA</t>
  </si>
  <si>
    <t>ρ OPA (kg/m³)</t>
  </si>
  <si>
    <t>Kd OPA (m³/kg)</t>
  </si>
  <si>
    <t>De OPA (m²/yr)</t>
  </si>
  <si>
    <t>t_dt at 1 m OPA (yr)</t>
  </si>
  <si>
    <t>b at 1Myr OPA (m)</t>
  </si>
  <si>
    <t>Source: Nagra (2002), Project Opalinus Clay: Safety report. Demonstration of disposal feasibility for spent fuel, vitrified high-level waste and long-lived intermediate-level waste (Entsorgungsnachweis). Nagra Technical Report NTB 02-05, Wettingen, Switzerland.</t>
  </si>
  <si>
    <t>Ref. case</t>
  </si>
  <si>
    <t>Ref. case pH</t>
  </si>
  <si>
    <r>
      <t>Where</t>
    </r>
    <r>
      <rPr>
        <i/>
        <sz val="12"/>
        <color theme="1"/>
        <rFont val="Times New Roman"/>
        <family val="1"/>
      </rPr>
      <t xml:space="preserve"> t_dt</t>
    </r>
    <r>
      <rPr>
        <sz val="12"/>
        <color theme="1"/>
        <rFont val="Times New Roman"/>
        <family val="1"/>
      </rPr>
      <t xml:space="preserve"> is diffusive-transport time for 1 meter and </t>
    </r>
    <r>
      <rPr>
        <i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 is diffusive-transport distance for 1 Myr</t>
    </r>
  </si>
  <si>
    <t>Compacted Bentonite (MX-80)</t>
  </si>
  <si>
    <t>Ref. case Eh (mV)</t>
  </si>
  <si>
    <t>OPA</t>
  </si>
  <si>
    <t>Pa</t>
  </si>
  <si>
    <t>Pa(V)</t>
  </si>
  <si>
    <t>U(IV)</t>
  </si>
  <si>
    <t>high</t>
  </si>
  <si>
    <t>Nb(V)</t>
  </si>
  <si>
    <t>U-234</t>
  </si>
  <si>
    <t>Nb-93m</t>
  </si>
  <si>
    <t>Solubility Limits (mol/l) for Ref.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</si>
</sst>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1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565D-861C-734C-B9FD-74543E4138E8}">
  <dimension ref="B1:W72"/>
  <sheetViews>
    <sheetView tabSelected="1" zoomScale="87" workbookViewId="0">
      <selection activeCell="Q26" sqref="Q26"/>
    </sheetView>
  </sheetViews>
  <sheetFormatPr baseColWidth="10" defaultRowHeight="16" x14ac:dyDescent="0.2"/>
  <sheetData>
    <row r="1" spans="2:23" x14ac:dyDescent="0.2">
      <c r="N1" s="1"/>
      <c r="O1" s="1"/>
      <c r="P1" s="1"/>
      <c r="Q1" s="1"/>
      <c r="R1" s="1"/>
      <c r="S1" s="1"/>
    </row>
    <row r="2" spans="2:23" x14ac:dyDescent="0.2">
      <c r="B2" s="2" t="s">
        <v>0</v>
      </c>
      <c r="C2" s="2" t="s">
        <v>1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32</v>
      </c>
      <c r="K2" s="2" t="s">
        <v>31</v>
      </c>
      <c r="L2" s="2" t="s">
        <v>49</v>
      </c>
      <c r="M2" s="2"/>
      <c r="N2" s="2"/>
      <c r="R2" s="1"/>
      <c r="S2" s="1"/>
      <c r="U2" s="2"/>
      <c r="V2" s="2"/>
      <c r="W2" s="2"/>
    </row>
    <row r="3" spans="2:23" x14ac:dyDescent="0.2">
      <c r="B3" s="1" t="s">
        <v>2</v>
      </c>
      <c r="C3" s="1" t="s">
        <v>3</v>
      </c>
      <c r="D3" s="1">
        <v>0.36</v>
      </c>
      <c r="E3" s="1">
        <v>1760</v>
      </c>
      <c r="F3" s="3">
        <v>6.3115200000000002E-3</v>
      </c>
      <c r="G3" s="1">
        <v>0.1</v>
      </c>
      <c r="H3" s="1">
        <v>0.12</v>
      </c>
      <c r="I3" s="1">
        <v>2390</v>
      </c>
      <c r="J3" s="3">
        <v>3.1557599999999998E-4</v>
      </c>
      <c r="K3" s="1">
        <v>0.5</v>
      </c>
      <c r="L3" s="1" t="s">
        <v>45</v>
      </c>
      <c r="M3" s="1"/>
      <c r="N3" s="1"/>
      <c r="R3" s="1"/>
      <c r="S3" s="1"/>
      <c r="U3" s="1"/>
      <c r="V3" s="1"/>
      <c r="W3" s="1"/>
    </row>
    <row r="4" spans="2:23" x14ac:dyDescent="0.2">
      <c r="B4" s="1" t="s">
        <v>9</v>
      </c>
      <c r="C4" s="1" t="s">
        <v>8</v>
      </c>
      <c r="D4" s="1">
        <v>0.36</v>
      </c>
      <c r="E4" s="1">
        <v>1760</v>
      </c>
      <c r="F4" s="3">
        <v>6.3115200000000002E-3</v>
      </c>
      <c r="G4" s="1">
        <v>20</v>
      </c>
      <c r="H4" s="1">
        <v>0.12</v>
      </c>
      <c r="I4" s="1">
        <v>2390</v>
      </c>
      <c r="J4" s="3">
        <v>3.1557599999999998E-4</v>
      </c>
      <c r="K4" s="1">
        <v>20</v>
      </c>
      <c r="L4" s="3">
        <v>4.9999999999999998E-8</v>
      </c>
      <c r="M4" s="1"/>
      <c r="N4" s="1"/>
      <c r="R4" s="1"/>
      <c r="S4" s="1"/>
      <c r="U4" s="1"/>
      <c r="V4" s="1"/>
      <c r="W4" s="1"/>
    </row>
    <row r="5" spans="2:23" x14ac:dyDescent="0.2">
      <c r="B5" s="1" t="s">
        <v>7</v>
      </c>
      <c r="C5" s="1" t="s">
        <v>8</v>
      </c>
      <c r="D5" s="1">
        <v>0.36</v>
      </c>
      <c r="E5" s="1">
        <v>1760</v>
      </c>
      <c r="F5" s="3">
        <v>6.3115200000000002E-3</v>
      </c>
      <c r="G5" s="1">
        <v>20</v>
      </c>
      <c r="H5" s="1">
        <v>0.12</v>
      </c>
      <c r="I5" s="1">
        <v>2390</v>
      </c>
      <c r="J5" s="3">
        <v>3.1557599999999998E-4</v>
      </c>
      <c r="K5" s="1">
        <v>20</v>
      </c>
      <c r="L5" s="3">
        <v>4.9999999999999998E-8</v>
      </c>
      <c r="M5" s="1"/>
      <c r="N5" s="1"/>
      <c r="P5" s="1"/>
      <c r="Q5" s="1"/>
      <c r="R5" s="1"/>
      <c r="S5" s="1"/>
    </row>
    <row r="6" spans="2:23" x14ac:dyDescent="0.2">
      <c r="B6" s="1" t="s">
        <v>13</v>
      </c>
      <c r="C6" s="1" t="s">
        <v>12</v>
      </c>
      <c r="D6" s="1">
        <v>0.36</v>
      </c>
      <c r="E6" s="1">
        <v>1760</v>
      </c>
      <c r="F6" s="3">
        <v>6.3115200000000002E-3</v>
      </c>
      <c r="G6" s="1">
        <v>20</v>
      </c>
      <c r="H6" s="1">
        <v>0.12</v>
      </c>
      <c r="I6" s="1">
        <v>2390</v>
      </c>
      <c r="J6" s="3">
        <v>3.1557599999999998E-4</v>
      </c>
      <c r="K6" s="1">
        <v>10</v>
      </c>
      <c r="L6" s="3">
        <v>9.9999999999999995E-7</v>
      </c>
      <c r="M6" s="1"/>
      <c r="N6" s="1"/>
      <c r="P6" s="1"/>
      <c r="Q6" s="1"/>
      <c r="R6" s="1"/>
      <c r="S6" s="1"/>
    </row>
    <row r="7" spans="2:23" x14ac:dyDescent="0.2">
      <c r="B7" s="1" t="s">
        <v>6</v>
      </c>
      <c r="C7" s="1" t="s">
        <v>5</v>
      </c>
      <c r="D7" s="1">
        <v>0.36</v>
      </c>
      <c r="E7" s="1">
        <v>1760</v>
      </c>
      <c r="F7" s="3">
        <v>6.3115200000000002E-3</v>
      </c>
      <c r="G7" s="1">
        <v>60</v>
      </c>
      <c r="H7" s="1">
        <v>0.12</v>
      </c>
      <c r="I7" s="1">
        <v>2390</v>
      </c>
      <c r="J7" s="3">
        <v>3.1557599999999998E-4</v>
      </c>
      <c r="K7" s="1">
        <v>50</v>
      </c>
      <c r="L7" s="3">
        <v>5.0000000000000001E-9</v>
      </c>
      <c r="M7" s="1"/>
      <c r="N7" s="1"/>
      <c r="P7" s="1"/>
      <c r="Q7" s="1"/>
      <c r="R7" s="1"/>
      <c r="S7" s="1"/>
    </row>
    <row r="8" spans="2:23" x14ac:dyDescent="0.2">
      <c r="B8" s="1" t="s">
        <v>18</v>
      </c>
      <c r="C8" s="1" t="s">
        <v>19</v>
      </c>
      <c r="D8" s="1">
        <v>0.36</v>
      </c>
      <c r="E8" s="1">
        <v>1760</v>
      </c>
      <c r="F8" s="3">
        <v>6.3115200000000002E-3</v>
      </c>
      <c r="G8" s="1">
        <v>60</v>
      </c>
      <c r="H8" s="1">
        <v>0.12</v>
      </c>
      <c r="I8" s="1">
        <v>2390</v>
      </c>
      <c r="J8" s="3">
        <v>3.1557599999999998E-4</v>
      </c>
      <c r="K8" s="1">
        <v>50</v>
      </c>
      <c r="L8" s="3">
        <v>4.0000000000000002E-9</v>
      </c>
      <c r="M8" s="1"/>
      <c r="N8" s="1"/>
    </row>
    <row r="9" spans="2:23" x14ac:dyDescent="0.2">
      <c r="B9" s="1" t="s">
        <v>47</v>
      </c>
      <c r="C9" s="1" t="s">
        <v>44</v>
      </c>
      <c r="D9" s="1">
        <v>0.36</v>
      </c>
      <c r="E9" s="1">
        <v>1760</v>
      </c>
      <c r="F9" s="3">
        <v>6.3115200000000002E-3</v>
      </c>
      <c r="G9" s="1">
        <v>40</v>
      </c>
      <c r="H9" s="1">
        <v>0.12</v>
      </c>
      <c r="I9" s="1">
        <v>2390</v>
      </c>
      <c r="J9" s="3">
        <v>3.1557599999999998E-4</v>
      </c>
      <c r="K9" s="1">
        <v>20</v>
      </c>
      <c r="L9" s="3">
        <v>3E-9</v>
      </c>
      <c r="M9" s="1"/>
      <c r="N9" s="1"/>
    </row>
    <row r="10" spans="2:23" x14ac:dyDescent="0.2">
      <c r="B10" s="1" t="s">
        <v>10</v>
      </c>
      <c r="C10" s="1" t="s">
        <v>8</v>
      </c>
      <c r="D10" s="1">
        <v>0.36</v>
      </c>
      <c r="E10" s="1">
        <v>1760</v>
      </c>
      <c r="F10" s="3">
        <v>6.3115200000000002E-3</v>
      </c>
      <c r="G10" s="1">
        <v>20</v>
      </c>
      <c r="H10" s="1">
        <v>0.12</v>
      </c>
      <c r="I10" s="1">
        <v>2390</v>
      </c>
      <c r="J10" s="3">
        <v>3.1557599999999998E-4</v>
      </c>
      <c r="K10" s="1">
        <v>20</v>
      </c>
      <c r="L10" s="3">
        <v>4.9999999999999998E-8</v>
      </c>
      <c r="M10" s="1"/>
      <c r="N10" s="1"/>
    </row>
    <row r="11" spans="2:23" x14ac:dyDescent="0.2">
      <c r="B11" s="1" t="s">
        <v>11</v>
      </c>
      <c r="C11" s="1" t="s">
        <v>12</v>
      </c>
      <c r="D11" s="1">
        <v>0.36</v>
      </c>
      <c r="E11" s="1">
        <v>1760</v>
      </c>
      <c r="F11" s="3">
        <v>6.3115200000000002E-3</v>
      </c>
      <c r="G11" s="1">
        <v>20</v>
      </c>
      <c r="H11" s="1">
        <v>0.12</v>
      </c>
      <c r="I11" s="1">
        <v>2390</v>
      </c>
      <c r="J11" s="3">
        <v>3.1557599999999998E-4</v>
      </c>
      <c r="K11" s="1">
        <v>10</v>
      </c>
      <c r="L11" s="3">
        <v>9.9999999999999995E-7</v>
      </c>
      <c r="M11" s="1"/>
      <c r="N11" s="1"/>
    </row>
    <row r="12" spans="2:23" x14ac:dyDescent="0.2">
      <c r="B12" s="1" t="s">
        <v>16</v>
      </c>
      <c r="C12" s="1" t="s">
        <v>17</v>
      </c>
      <c r="D12" s="1">
        <v>0.36</v>
      </c>
      <c r="E12" s="1">
        <v>1760</v>
      </c>
      <c r="F12" s="3">
        <v>6.3115200000000002E-3</v>
      </c>
      <c r="G12" s="1">
        <v>80</v>
      </c>
      <c r="H12" s="1">
        <v>0.12</v>
      </c>
      <c r="I12" s="1">
        <v>2390</v>
      </c>
      <c r="J12" s="3">
        <v>3.1557599999999998E-4</v>
      </c>
      <c r="K12" s="1">
        <v>10</v>
      </c>
      <c r="L12" s="3">
        <v>2.0000000000000001E-9</v>
      </c>
      <c r="M12" s="1"/>
      <c r="N12" s="1"/>
    </row>
    <row r="13" spans="2:23" x14ac:dyDescent="0.2">
      <c r="B13" s="1" t="s">
        <v>4</v>
      </c>
      <c r="C13" s="1" t="s">
        <v>5</v>
      </c>
      <c r="D13" s="1">
        <v>0.36</v>
      </c>
      <c r="E13" s="1">
        <v>1760</v>
      </c>
      <c r="F13" s="3">
        <v>6.3115200000000002E-3</v>
      </c>
      <c r="G13" s="1">
        <v>60</v>
      </c>
      <c r="H13" s="1">
        <v>0.12</v>
      </c>
      <c r="I13" s="1">
        <v>2390</v>
      </c>
      <c r="J13" s="3">
        <v>3.1557599999999998E-4</v>
      </c>
      <c r="K13" s="1">
        <v>50</v>
      </c>
      <c r="L13" s="3">
        <v>5.0000000000000001E-9</v>
      </c>
      <c r="M13" s="1"/>
      <c r="N13" s="1"/>
    </row>
    <row r="14" spans="2:23" x14ac:dyDescent="0.2">
      <c r="B14" s="1" t="s">
        <v>48</v>
      </c>
      <c r="C14" s="1" t="s">
        <v>46</v>
      </c>
      <c r="D14" s="1">
        <v>0.36</v>
      </c>
      <c r="E14" s="1">
        <v>1760</v>
      </c>
      <c r="F14" s="3">
        <v>6.3115200000000002E-3</v>
      </c>
      <c r="G14" s="1">
        <v>30</v>
      </c>
      <c r="H14" s="1">
        <v>0.12</v>
      </c>
      <c r="I14" s="1">
        <v>2390</v>
      </c>
      <c r="J14" s="3">
        <v>3.1557599999999998E-4</v>
      </c>
      <c r="K14" s="1">
        <v>4</v>
      </c>
      <c r="L14" s="3">
        <v>3.0000000000000001E-5</v>
      </c>
      <c r="M14" s="1"/>
      <c r="N14" s="1"/>
    </row>
    <row r="15" spans="2:23" x14ac:dyDescent="0.2">
      <c r="B15" s="1" t="s">
        <v>42</v>
      </c>
      <c r="C15" s="1" t="s">
        <v>43</v>
      </c>
      <c r="D15" s="1">
        <v>0.36</v>
      </c>
      <c r="E15" s="1">
        <v>1760</v>
      </c>
      <c r="F15" s="3">
        <v>6.3115200000000002E-3</v>
      </c>
      <c r="G15" s="1">
        <v>5</v>
      </c>
      <c r="H15" s="1">
        <v>0.12</v>
      </c>
      <c r="I15" s="1">
        <v>2390</v>
      </c>
      <c r="J15" s="3">
        <v>3.1557599999999998E-4</v>
      </c>
      <c r="K15" s="1">
        <v>5</v>
      </c>
      <c r="L15" s="3">
        <v>1E-8</v>
      </c>
      <c r="M15" s="1"/>
      <c r="N15" s="1"/>
    </row>
    <row r="16" spans="2:23" x14ac:dyDescent="0.2">
      <c r="B16" s="1" t="s">
        <v>22</v>
      </c>
      <c r="C16" s="1" t="s">
        <v>3</v>
      </c>
      <c r="D16" s="1">
        <v>0.36</v>
      </c>
      <c r="E16" s="1">
        <v>1760</v>
      </c>
      <c r="F16" s="3">
        <v>6.3115200000000002E-3</v>
      </c>
      <c r="G16" s="1">
        <v>0.1</v>
      </c>
      <c r="H16" s="1">
        <v>0.12</v>
      </c>
      <c r="I16" s="1">
        <v>2390</v>
      </c>
      <c r="J16" s="3">
        <v>3.1557599999999998E-4</v>
      </c>
      <c r="K16" s="1">
        <v>0.5</v>
      </c>
      <c r="L16" s="1" t="s">
        <v>45</v>
      </c>
      <c r="M16" s="1"/>
      <c r="N16" s="1"/>
    </row>
    <row r="17" spans="2:14" x14ac:dyDescent="0.2">
      <c r="B17" s="1" t="s">
        <v>14</v>
      </c>
      <c r="C17" s="1" t="s">
        <v>15</v>
      </c>
      <c r="D17" s="1">
        <v>0.05</v>
      </c>
      <c r="E17" s="1">
        <v>1760</v>
      </c>
      <c r="F17" s="3">
        <v>9.4672800000000006E-5</v>
      </c>
      <c r="G17" s="1">
        <v>0</v>
      </c>
      <c r="H17" s="1">
        <v>0.06</v>
      </c>
      <c r="I17" s="1">
        <v>2390</v>
      </c>
      <c r="J17" s="3">
        <v>3.1557599999999998E-5</v>
      </c>
      <c r="K17" s="1">
        <v>0</v>
      </c>
      <c r="L17" s="3">
        <v>5.0000000000000001E-9</v>
      </c>
      <c r="M17" s="1"/>
      <c r="N17" s="1"/>
    </row>
    <row r="18" spans="2:14" x14ac:dyDescent="0.2">
      <c r="B18" s="1" t="s">
        <v>20</v>
      </c>
      <c r="C18" s="1" t="s">
        <v>21</v>
      </c>
      <c r="D18" s="1">
        <v>0.05</v>
      </c>
      <c r="E18" s="1">
        <v>1760</v>
      </c>
      <c r="F18" s="3">
        <v>9.4672800000000006E-5</v>
      </c>
      <c r="G18" s="3">
        <v>5.0000000000000001E-4</v>
      </c>
      <c r="H18" s="1">
        <v>0.06</v>
      </c>
      <c r="I18" s="1">
        <v>2390</v>
      </c>
      <c r="J18" s="3">
        <v>3.1557599999999998E-5</v>
      </c>
      <c r="K18" s="3">
        <v>3.0000000000000001E-5</v>
      </c>
      <c r="L18" s="1" t="s">
        <v>45</v>
      </c>
      <c r="M18" s="1"/>
      <c r="N18" s="1"/>
    </row>
    <row r="23" spans="2:14" x14ac:dyDescent="0.2">
      <c r="B23" s="2" t="s">
        <v>0</v>
      </c>
      <c r="C23" s="2" t="s">
        <v>1</v>
      </c>
      <c r="D23" s="2" t="s">
        <v>23</v>
      </c>
      <c r="E23" s="2" t="s">
        <v>24</v>
      </c>
      <c r="F23" s="2" t="s">
        <v>33</v>
      </c>
      <c r="G23" s="2" t="s">
        <v>34</v>
      </c>
      <c r="H23" s="2"/>
      <c r="I23" s="2"/>
      <c r="J23" s="2"/>
      <c r="K23" s="2"/>
      <c r="L23" s="2"/>
    </row>
    <row r="24" spans="2:14" x14ac:dyDescent="0.2">
      <c r="B24" s="1" t="s">
        <v>2</v>
      </c>
      <c r="C24" s="1" t="s">
        <v>3</v>
      </c>
      <c r="D24" s="5">
        <f>(D3 + E3*G3)/F3</f>
        <v>27942.55583441073</v>
      </c>
      <c r="E24" s="1">
        <f>SQRT(1000000*F3/(D3 + E3*G3))</f>
        <v>5.9822827551888729</v>
      </c>
      <c r="F24" s="3">
        <f t="shared" ref="F24:F39" si="0">(H3 + I3*K3)/J3</f>
        <v>3787106.750830228</v>
      </c>
      <c r="G24" s="1">
        <f t="shared" ref="G24:G39" si="1">SQRT(1000000*J3/(H3 + I3*K3))</f>
        <v>0.51386167288812046</v>
      </c>
      <c r="I24" s="1"/>
      <c r="J24" s="3">
        <v>27942.55583441073</v>
      </c>
      <c r="K24" s="5"/>
      <c r="L24" s="1"/>
    </row>
    <row r="25" spans="2:14" x14ac:dyDescent="0.2">
      <c r="B25" s="1" t="s">
        <v>9</v>
      </c>
      <c r="C25" s="1" t="s">
        <v>8</v>
      </c>
      <c r="D25" s="5">
        <f t="shared" ref="D25:D39" si="2">(D4 + E4*G4)/F4</f>
        <v>5577160.4938271604</v>
      </c>
      <c r="E25" s="1">
        <f t="shared" ref="E25:E39" si="3">SQRT(1000000*F4/(D4 + E4*G4))</f>
        <v>0.42344150915659229</v>
      </c>
      <c r="F25" s="3">
        <f t="shared" si="0"/>
        <v>151469440.00811216</v>
      </c>
      <c r="G25" s="1">
        <f t="shared" si="1"/>
        <v>8.1252641767285694E-2</v>
      </c>
      <c r="I25" s="1"/>
      <c r="J25" s="3">
        <v>5577160.4938271604</v>
      </c>
      <c r="K25" s="5"/>
    </row>
    <row r="26" spans="2:14" x14ac:dyDescent="0.2">
      <c r="B26" s="1" t="s">
        <v>7</v>
      </c>
      <c r="C26" s="1" t="s">
        <v>8</v>
      </c>
      <c r="D26" s="5">
        <f t="shared" si="2"/>
        <v>5577160.4938271604</v>
      </c>
      <c r="E26" s="1">
        <f t="shared" si="3"/>
        <v>0.42344150915659229</v>
      </c>
      <c r="F26" s="3">
        <f t="shared" si="0"/>
        <v>151469440.00811216</v>
      </c>
      <c r="G26" s="1">
        <f t="shared" si="1"/>
        <v>8.1252641767285694E-2</v>
      </c>
      <c r="I26" s="1"/>
      <c r="J26" s="3">
        <v>5577160.4938271604</v>
      </c>
      <c r="K26" s="5"/>
    </row>
    <row r="27" spans="2:14" x14ac:dyDescent="0.2">
      <c r="B27" s="1" t="s">
        <v>13</v>
      </c>
      <c r="C27" s="1" t="s">
        <v>12</v>
      </c>
      <c r="D27" s="5">
        <f t="shared" si="2"/>
        <v>5577160.4938271604</v>
      </c>
      <c r="E27" s="1">
        <f t="shared" si="3"/>
        <v>0.42344150915659229</v>
      </c>
      <c r="F27" s="3">
        <f t="shared" si="0"/>
        <v>75734910.132582963</v>
      </c>
      <c r="G27" s="1">
        <f t="shared" si="1"/>
        <v>0.1149084437298504</v>
      </c>
      <c r="I27" s="1"/>
      <c r="J27" s="3">
        <v>5577160.4938271604</v>
      </c>
      <c r="K27" s="5"/>
    </row>
    <row r="28" spans="2:14" x14ac:dyDescent="0.2">
      <c r="B28" s="1" t="s">
        <v>6</v>
      </c>
      <c r="C28" s="1" t="s">
        <v>5</v>
      </c>
      <c r="D28" s="5">
        <f t="shared" si="2"/>
        <v>16731367.404365351</v>
      </c>
      <c r="E28" s="1">
        <f t="shared" si="3"/>
        <v>0.24447490272768521</v>
      </c>
      <c r="F28" s="3">
        <f t="shared" si="0"/>
        <v>378673029.63469976</v>
      </c>
      <c r="G28" s="1">
        <f t="shared" si="1"/>
        <v>5.1388721480790545E-2</v>
      </c>
      <c r="I28" s="1"/>
      <c r="J28" s="3">
        <v>16731367.404365351</v>
      </c>
      <c r="K28" s="5"/>
    </row>
    <row r="29" spans="2:14" x14ac:dyDescent="0.2">
      <c r="B29" s="1" t="s">
        <v>18</v>
      </c>
      <c r="C29" s="1" t="s">
        <v>19</v>
      </c>
      <c r="D29" s="5">
        <f t="shared" si="2"/>
        <v>16731367.404365351</v>
      </c>
      <c r="E29" s="1">
        <f t="shared" si="3"/>
        <v>0.24447490272768521</v>
      </c>
      <c r="F29" s="3">
        <f t="shared" si="0"/>
        <v>378673029.63469976</v>
      </c>
      <c r="G29" s="1">
        <f t="shared" si="1"/>
        <v>5.1388721480790545E-2</v>
      </c>
      <c r="I29" s="1"/>
      <c r="J29" s="3">
        <v>16731367.404365351</v>
      </c>
      <c r="K29" s="5"/>
    </row>
    <row r="30" spans="2:14" x14ac:dyDescent="0.2">
      <c r="B30" s="1" t="s">
        <v>47</v>
      </c>
      <c r="C30" s="1" t="s">
        <v>44</v>
      </c>
      <c r="D30" s="5">
        <f t="shared" si="2"/>
        <v>11154263.949096255</v>
      </c>
      <c r="E30" s="1">
        <f t="shared" si="3"/>
        <v>0.29941912811391186</v>
      </c>
      <c r="F30" s="3">
        <f t="shared" si="0"/>
        <v>151469440.00811216</v>
      </c>
      <c r="G30" s="1">
        <f t="shared" si="1"/>
        <v>8.1252641767285694E-2</v>
      </c>
      <c r="I30" s="1"/>
      <c r="J30" s="3">
        <v>11154263.949096255</v>
      </c>
      <c r="K30" s="5"/>
    </row>
    <row r="31" spans="2:14" x14ac:dyDescent="0.2">
      <c r="B31" s="1" t="s">
        <v>10</v>
      </c>
      <c r="C31" s="1" t="s">
        <v>8</v>
      </c>
      <c r="D31" s="5">
        <f t="shared" si="2"/>
        <v>5577160.4938271604</v>
      </c>
      <c r="E31" s="1">
        <f t="shared" si="3"/>
        <v>0.42344150915659229</v>
      </c>
      <c r="F31" s="3">
        <f t="shared" si="0"/>
        <v>151469440.00811216</v>
      </c>
      <c r="G31" s="1">
        <f t="shared" si="1"/>
        <v>8.1252641767285694E-2</v>
      </c>
      <c r="I31" s="1"/>
      <c r="J31" s="3">
        <v>5577160.4938271604</v>
      </c>
      <c r="K31" s="5"/>
    </row>
    <row r="32" spans="2:14" x14ac:dyDescent="0.2">
      <c r="B32" s="1" t="s">
        <v>11</v>
      </c>
      <c r="C32" s="1" t="s">
        <v>12</v>
      </c>
      <c r="D32" s="5">
        <f t="shared" si="2"/>
        <v>5577160.4938271604</v>
      </c>
      <c r="E32" s="1">
        <f t="shared" si="3"/>
        <v>0.42344150915659229</v>
      </c>
      <c r="F32" s="3">
        <f t="shared" si="0"/>
        <v>75734910.132582963</v>
      </c>
      <c r="G32" s="1">
        <f t="shared" si="1"/>
        <v>0.1149084437298504</v>
      </c>
      <c r="I32" s="1"/>
      <c r="J32" s="3">
        <v>5577160.4938271604</v>
      </c>
      <c r="K32" s="5"/>
    </row>
    <row r="33" spans="2:11" x14ac:dyDescent="0.2">
      <c r="B33" s="1" t="s">
        <v>16</v>
      </c>
      <c r="C33" s="1" t="s">
        <v>17</v>
      </c>
      <c r="D33" s="5">
        <f t="shared" si="2"/>
        <v>22308470.859634444</v>
      </c>
      <c r="E33" s="1">
        <f t="shared" si="3"/>
        <v>0.2117215665718751</v>
      </c>
      <c r="F33" s="3">
        <f t="shared" si="0"/>
        <v>75734910.132582963</v>
      </c>
      <c r="G33" s="1">
        <f t="shared" si="1"/>
        <v>0.1149084437298504</v>
      </c>
      <c r="I33" s="1"/>
      <c r="J33" s="3">
        <v>22308470.859634444</v>
      </c>
      <c r="K33" s="5"/>
    </row>
    <row r="34" spans="2:11" x14ac:dyDescent="0.2">
      <c r="B34" s="1" t="s">
        <v>4</v>
      </c>
      <c r="C34" s="1" t="s">
        <v>5</v>
      </c>
      <c r="D34" s="5">
        <f t="shared" si="2"/>
        <v>16731367.404365351</v>
      </c>
      <c r="E34" s="1">
        <f t="shared" si="3"/>
        <v>0.24447490272768521</v>
      </c>
      <c r="F34" s="3">
        <f t="shared" si="0"/>
        <v>378673029.63469976</v>
      </c>
      <c r="G34" s="1">
        <f t="shared" si="1"/>
        <v>5.1388721480790545E-2</v>
      </c>
      <c r="I34" s="1"/>
      <c r="J34" s="3">
        <v>16731367.404365351</v>
      </c>
      <c r="K34" s="5"/>
    </row>
    <row r="35" spans="2:11" x14ac:dyDescent="0.2">
      <c r="B35" s="1" t="s">
        <v>48</v>
      </c>
      <c r="C35" s="1" t="s">
        <v>46</v>
      </c>
      <c r="D35" s="5">
        <f t="shared" si="2"/>
        <v>8365712.2214617077</v>
      </c>
      <c r="E35" s="1">
        <f t="shared" si="3"/>
        <v>0.34573913377177801</v>
      </c>
      <c r="F35" s="3">
        <f t="shared" si="0"/>
        <v>30294192.207265452</v>
      </c>
      <c r="G35" s="1">
        <f t="shared" si="1"/>
        <v>0.18168551811912678</v>
      </c>
      <c r="I35" s="1"/>
      <c r="J35" s="3">
        <v>1394332.9023753391</v>
      </c>
      <c r="K35" s="5"/>
    </row>
    <row r="36" spans="2:11" x14ac:dyDescent="0.2">
      <c r="B36" s="1" t="s">
        <v>42</v>
      </c>
      <c r="C36" s="1" t="s">
        <v>43</v>
      </c>
      <c r="D36" s="5">
        <f t="shared" si="2"/>
        <v>1394332.9023753391</v>
      </c>
      <c r="E36" s="1">
        <f t="shared" si="3"/>
        <v>0.84687002678960965</v>
      </c>
      <c r="F36" s="3">
        <f t="shared" si="0"/>
        <v>37867645.19481837</v>
      </c>
      <c r="G36" s="1">
        <f t="shared" si="1"/>
        <v>0.16250467159498183</v>
      </c>
      <c r="I36" s="1"/>
      <c r="J36" s="3">
        <v>27942.55583441073</v>
      </c>
      <c r="K36" s="5"/>
    </row>
    <row r="37" spans="2:11" x14ac:dyDescent="0.2">
      <c r="B37" s="1" t="s">
        <v>22</v>
      </c>
      <c r="C37" s="1" t="s">
        <v>3</v>
      </c>
      <c r="D37" s="5">
        <f t="shared" si="2"/>
        <v>27942.55583441073</v>
      </c>
      <c r="E37" s="1">
        <f t="shared" si="3"/>
        <v>5.9822827551888729</v>
      </c>
      <c r="F37" s="3">
        <f t="shared" si="0"/>
        <v>3787106.750830228</v>
      </c>
      <c r="G37" s="1">
        <f t="shared" si="1"/>
        <v>0.51386167288812046</v>
      </c>
      <c r="I37" s="1"/>
      <c r="J37" s="3">
        <v>528.13479690048246</v>
      </c>
      <c r="K37" s="5"/>
    </row>
    <row r="38" spans="2:11" x14ac:dyDescent="0.2">
      <c r="B38" s="1" t="s">
        <v>14</v>
      </c>
      <c r="C38" s="1" t="s">
        <v>15</v>
      </c>
      <c r="D38" s="5">
        <f t="shared" si="2"/>
        <v>528.13479690048246</v>
      </c>
      <c r="E38" s="1">
        <f t="shared" si="3"/>
        <v>43.513859860968438</v>
      </c>
      <c r="F38" s="3">
        <f t="shared" si="0"/>
        <v>1901.2852688417372</v>
      </c>
      <c r="G38" s="1">
        <f t="shared" si="1"/>
        <v>22.93381782433967</v>
      </c>
      <c r="I38" s="1"/>
      <c r="J38">
        <v>9823.3072223489744</v>
      </c>
      <c r="K38" s="5"/>
    </row>
    <row r="39" spans="2:11" x14ac:dyDescent="0.2">
      <c r="B39" s="1" t="s">
        <v>20</v>
      </c>
      <c r="C39" s="1" t="s">
        <v>21</v>
      </c>
      <c r="D39" s="5">
        <f t="shared" si="2"/>
        <v>9823.3072223489744</v>
      </c>
      <c r="E39" s="1">
        <f t="shared" si="3"/>
        <v>10.089534661094106</v>
      </c>
      <c r="F39" s="3">
        <f t="shared" si="0"/>
        <v>4173.3211651076126</v>
      </c>
      <c r="G39" s="1">
        <f t="shared" si="1"/>
        <v>15.479577257564012</v>
      </c>
      <c r="K39" s="5"/>
    </row>
    <row r="40" spans="2:11" x14ac:dyDescent="0.2">
      <c r="B40" s="1"/>
      <c r="C40" s="1"/>
      <c r="D40" s="3"/>
      <c r="E40" s="1"/>
      <c r="F40" s="3"/>
      <c r="G40" s="1"/>
    </row>
    <row r="41" spans="2:11" x14ac:dyDescent="0.2">
      <c r="B41" s="1" t="s">
        <v>38</v>
      </c>
      <c r="C41" s="1"/>
      <c r="D41" s="3"/>
      <c r="E41" s="1"/>
      <c r="F41" s="3"/>
      <c r="G41" s="1"/>
    </row>
    <row r="42" spans="2:11" x14ac:dyDescent="0.2">
      <c r="C42" s="1"/>
    </row>
    <row r="43" spans="2:11" x14ac:dyDescent="0.2">
      <c r="C43" s="1"/>
    </row>
    <row r="46" spans="2:11" x14ac:dyDescent="0.2">
      <c r="B46" s="2" t="s">
        <v>36</v>
      </c>
      <c r="C46" s="2" t="s">
        <v>37</v>
      </c>
      <c r="D46" s="2" t="s">
        <v>40</v>
      </c>
    </row>
    <row r="47" spans="2:11" x14ac:dyDescent="0.2">
      <c r="B47" s="1" t="s">
        <v>39</v>
      </c>
      <c r="C47" s="1">
        <v>7.25</v>
      </c>
      <c r="D47" s="1">
        <v>-194</v>
      </c>
    </row>
    <row r="48" spans="2:11" x14ac:dyDescent="0.2">
      <c r="B48" s="1" t="s">
        <v>41</v>
      </c>
      <c r="C48" s="1">
        <v>7.25</v>
      </c>
      <c r="D48" s="1">
        <v>-167</v>
      </c>
    </row>
    <row r="49" spans="2:14" x14ac:dyDescent="0.2">
      <c r="B49" s="1"/>
      <c r="C49" s="1"/>
    </row>
    <row r="50" spans="2:14" x14ac:dyDescent="0.2">
      <c r="B50" s="2" t="s">
        <v>35</v>
      </c>
      <c r="C50" s="1"/>
    </row>
    <row r="56" spans="2:14" x14ac:dyDescent="0.2">
      <c r="L56" s="1"/>
      <c r="M56" s="1"/>
      <c r="N56" s="4"/>
    </row>
    <row r="57" spans="2:14" x14ac:dyDescent="0.2">
      <c r="L57" s="1"/>
      <c r="M57" s="1"/>
      <c r="N57" s="4"/>
    </row>
    <row r="58" spans="2:14" x14ac:dyDescent="0.2">
      <c r="L58" s="1"/>
      <c r="M58" s="1"/>
      <c r="N58" s="4"/>
    </row>
    <row r="59" spans="2:14" x14ac:dyDescent="0.2">
      <c r="L59" s="1"/>
      <c r="M59" s="1"/>
      <c r="N59" s="4"/>
    </row>
    <row r="60" spans="2:14" x14ac:dyDescent="0.2">
      <c r="L60" s="1"/>
      <c r="M60" s="1"/>
      <c r="N60" s="4"/>
    </row>
    <row r="61" spans="2:14" x14ac:dyDescent="0.2">
      <c r="L61" s="1"/>
      <c r="M61" s="1"/>
      <c r="N61" s="4"/>
    </row>
    <row r="62" spans="2:14" x14ac:dyDescent="0.2">
      <c r="L62" s="1"/>
      <c r="M62" s="1"/>
      <c r="N62" s="4"/>
    </row>
    <row r="63" spans="2:14" x14ac:dyDescent="0.2">
      <c r="L63" s="1"/>
      <c r="M63" s="1"/>
      <c r="N63" s="4"/>
    </row>
    <row r="64" spans="2:14" x14ac:dyDescent="0.2">
      <c r="L64" s="1"/>
      <c r="M64" s="1"/>
      <c r="N64" s="4"/>
    </row>
    <row r="65" spans="12:14" x14ac:dyDescent="0.2">
      <c r="L65" s="1"/>
      <c r="M65" s="1"/>
      <c r="N65" s="4"/>
    </row>
    <row r="66" spans="12:14" x14ac:dyDescent="0.2">
      <c r="L66" s="1"/>
      <c r="M66" s="1"/>
      <c r="N66" s="4"/>
    </row>
    <row r="67" spans="12:14" x14ac:dyDescent="0.2">
      <c r="L67" s="1"/>
      <c r="M67" s="1"/>
      <c r="N67" s="4"/>
    </row>
    <row r="68" spans="12:14" x14ac:dyDescent="0.2">
      <c r="L68" s="3"/>
      <c r="M68" s="1"/>
    </row>
    <row r="69" spans="12:14" x14ac:dyDescent="0.2">
      <c r="L69" s="1"/>
      <c r="M69" s="1"/>
    </row>
    <row r="70" spans="12:14" x14ac:dyDescent="0.2">
      <c r="M70" s="1"/>
      <c r="N70" s="4"/>
    </row>
    <row r="71" spans="12:14" x14ac:dyDescent="0.2">
      <c r="M71" s="1"/>
      <c r="N71" s="4"/>
    </row>
    <row r="72" spans="12:14" x14ac:dyDescent="0.2">
      <c r="M72" s="1"/>
      <c r="N7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55E8-C07A-874F-967B-7693056BF196}">
  <dimension ref="A1"/>
  <sheetViews>
    <sheetView workbookViewId="0">
      <selection activeCell="E188" sqref="E18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Dauren Sarsenbayev</dc:creator>
  <cp:keywords/>
  <dc:description/>
  <cp:lastModifiedBy>Haruko M Wainwright</cp:lastModifiedBy>
  <dcterms:created xsi:type="dcterms:W3CDTF">2026-01-06T19:19:02Z</dcterms:created>
  <dcterms:modified xsi:type="dcterms:W3CDTF">2026-01-21T17:48:04Z</dcterms:modified>
  <cp:category/>
</cp:coreProperties>
</file>